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Etec\FIA\"/>
    </mc:Choice>
  </mc:AlternateContent>
  <bookViews>
    <workbookView xWindow="0" yWindow="0" windowWidth="24000" windowHeight="9600" activeTab="1"/>
  </bookViews>
  <sheets>
    <sheet name="Produtos" sheetId="1" r:id="rId1"/>
    <sheet name="Vendas" sheetId="2" r:id="rId2"/>
    <sheet name="DashBoard" sheetId="3" r:id="rId3"/>
  </sheets>
  <definedNames>
    <definedName name="sexo">Vendas!#REF!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" l="1"/>
  <c r="H5" i="2"/>
  <c r="H6" i="2"/>
  <c r="H2" i="2"/>
  <c r="F2" i="2"/>
  <c r="F3" i="2"/>
  <c r="F4" i="2"/>
  <c r="F12" i="2" s="1"/>
  <c r="F5" i="2"/>
  <c r="F6" i="2"/>
  <c r="D2" i="2"/>
  <c r="D3" i="2"/>
  <c r="D4" i="2"/>
  <c r="D5" i="2"/>
  <c r="D6" i="2"/>
  <c r="C2" i="2"/>
  <c r="C3" i="2"/>
  <c r="C4" i="2"/>
  <c r="C5" i="2"/>
  <c r="C6" i="2"/>
  <c r="B2" i="2"/>
  <c r="B3" i="2"/>
  <c r="B4" i="2"/>
  <c r="B5" i="2"/>
  <c r="B6" i="2"/>
  <c r="F10" i="2" l="1"/>
  <c r="F9" i="2"/>
  <c r="H4" i="2"/>
  <c r="F11" i="2"/>
</calcChain>
</file>

<file path=xl/sharedStrings.xml><?xml version="1.0" encoding="utf-8"?>
<sst xmlns="http://schemas.openxmlformats.org/spreadsheetml/2006/main" count="32" uniqueCount="24">
  <si>
    <t>Código</t>
  </si>
  <si>
    <t>Produto</t>
  </si>
  <si>
    <t>Categoria</t>
  </si>
  <si>
    <t>Preço</t>
  </si>
  <si>
    <t>Mouse</t>
  </si>
  <si>
    <t>Teclado</t>
  </si>
  <si>
    <t>Monitor</t>
  </si>
  <si>
    <t>Headset</t>
  </si>
  <si>
    <t>Webcam</t>
  </si>
  <si>
    <t>Categorias</t>
  </si>
  <si>
    <t>Áudio</t>
  </si>
  <si>
    <t>Hardware</t>
  </si>
  <si>
    <t>Periféricos</t>
  </si>
  <si>
    <t>Vídeo</t>
  </si>
  <si>
    <t>Valor</t>
  </si>
  <si>
    <t>Quantidade</t>
  </si>
  <si>
    <t>Total</t>
  </si>
  <si>
    <t>Classificação</t>
  </si>
  <si>
    <t xml:space="preserve">Total Vendido: </t>
  </si>
  <si>
    <t>Média:</t>
  </si>
  <si>
    <t>Máximo:</t>
  </si>
  <si>
    <t>Mínimo:</t>
  </si>
  <si>
    <t>Resultado</t>
  </si>
  <si>
    <t>Análise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</si>
</sst>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right"/>
    </xf>
  </cellXfs>
  <cellStyles count="2">
    <cellStyle name="Moeda" xfId="1" builtinId="4"/>
    <cellStyle name="Normal" xfId="0" builtinId="0"/>
  </cellStyles>
  <dxfs count="7">
    <dxf>
      <numFmt numFmtId="164" formatCode="&quot;R$&quot;\ #,##0.00"/>
    </dxf>
    <dxf>
      <alignment horizontal="right" vertical="bottom" textRotation="0" wrapText="0" indent="0" justifyLastLine="0" shrinkToFit="0" readingOrder="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0" formatCode="General"/>
    </dxf>
    <dxf>
      <numFmt numFmtId="164" formatCode="&quot;R$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Barra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Vendas!$B$2:$B$6</c:f>
              <c:strCache>
                <c:ptCount val="5"/>
                <c:pt idx="0">
                  <c:v>Mouse</c:v>
                </c:pt>
                <c:pt idx="1">
                  <c:v>Teclado</c:v>
                </c:pt>
                <c:pt idx="2">
                  <c:v>Monitor</c:v>
                </c:pt>
                <c:pt idx="3">
                  <c:v>Headset</c:v>
                </c:pt>
                <c:pt idx="4">
                  <c:v>Webcam</c:v>
                </c:pt>
              </c:strCache>
            </c:strRef>
          </c:cat>
          <c:val>
            <c:numRef>
              <c:f>Vendas!$F$2:$F$6</c:f>
              <c:numCache>
                <c:formatCode>"R$"\ #,##0.00</c:formatCode>
                <c:ptCount val="5"/>
                <c:pt idx="0">
                  <c:v>13350</c:v>
                </c:pt>
                <c:pt idx="1">
                  <c:v>17099.100000000002</c:v>
                </c:pt>
                <c:pt idx="2">
                  <c:v>38250</c:v>
                </c:pt>
                <c:pt idx="3">
                  <c:v>3150</c:v>
                </c:pt>
                <c:pt idx="4">
                  <c:v>10050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43-4637-A649-4382669442D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30065104"/>
        <c:axId val="166645632"/>
        <c:axId val="0"/>
      </c:bar3DChart>
      <c:catAx>
        <c:axId val="23006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645632"/>
        <c:crosses val="autoZero"/>
        <c:auto val="1"/>
        <c:lblAlgn val="ctr"/>
        <c:lblOffset val="100"/>
        <c:noMultiLvlLbl val="0"/>
      </c:catAx>
      <c:valAx>
        <c:axId val="16664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0065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Pizza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2B8-4279-905A-61133AC376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2B8-4279-905A-61133AC376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2B8-4279-905A-61133AC376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2B8-4279-905A-61133AC376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2B8-4279-905A-61133AC376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Vendas!$B$2:$B$6</c:f>
              <c:strCache>
                <c:ptCount val="5"/>
                <c:pt idx="0">
                  <c:v>Mouse</c:v>
                </c:pt>
                <c:pt idx="1">
                  <c:v>Teclado</c:v>
                </c:pt>
                <c:pt idx="2">
                  <c:v>Monitor</c:v>
                </c:pt>
                <c:pt idx="3">
                  <c:v>Headset</c:v>
                </c:pt>
                <c:pt idx="4">
                  <c:v>Webcam</c:v>
                </c:pt>
              </c:strCache>
            </c:strRef>
          </c:cat>
          <c:val>
            <c:numRef>
              <c:f>Vendas!$E$2:$E$6</c:f>
              <c:numCache>
                <c:formatCode>General</c:formatCode>
                <c:ptCount val="5"/>
                <c:pt idx="0">
                  <c:v>150</c:v>
                </c:pt>
                <c:pt idx="1">
                  <c:v>90</c:v>
                </c:pt>
                <c:pt idx="2">
                  <c:v>45</c:v>
                </c:pt>
                <c:pt idx="3">
                  <c:v>15</c:v>
                </c:pt>
                <c:pt idx="4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2B8-4279-905A-61133AC37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323850</xdr:colOff>
      <xdr:row>3</xdr:row>
      <xdr:rowOff>85725</xdr:rowOff>
    </xdr:from>
    <xdr:to>
      <xdr:col>8</xdr:col>
      <xdr:colOff>201136</xdr:colOff>
      <xdr:row>16</xdr:row>
      <xdr:rowOff>121502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466725</xdr:colOff>
      <xdr:row>2</xdr:row>
      <xdr:rowOff>171450</xdr:rowOff>
    </xdr:from>
    <xdr:to>
      <xdr:col>16</xdr:col>
      <xdr:colOff>161925</xdr:colOff>
      <xdr:row>17</xdr:row>
      <xdr:rowOff>57150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ela2" displayName="Tabela2" ref="G1:G5" totalsRowShown="0">
  <autoFilter ref="G1:G5"/>
  <tableColumns count="1">
    <tableColumn id="1" name="Categori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ela3" displayName="Tabela3" ref="A1:D6" totalsRowShown="0">
  <autoFilter ref="A1:D6"/>
  <tableColumns count="4">
    <tableColumn id="1" name="Código"/>
    <tableColumn id="2" name="Produto"/>
    <tableColumn id="3" name="Categoria"/>
    <tableColumn id="4" name="Preço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ela4" displayName="Tabela4" ref="A1:F6" totalsRowShown="0">
  <autoFilter ref="A1:F6"/>
  <tableColumns count="6">
    <tableColumn id="1" name="Código"/>
    <tableColumn id="2" name="Produto" dataDxfId="5">
      <calculatedColumnFormula>VLOOKUP(Tabela4[[#This Row],[Código]],Tabela3[],2,FALSE)</calculatedColumnFormula>
    </tableColumn>
    <tableColumn id="3" name="Categoria" dataDxfId="4">
      <calculatedColumnFormula>VLOOKUP(Tabela4[[#This Row],[Código]],Tabela3[],3,FALSE)</calculatedColumnFormula>
    </tableColumn>
    <tableColumn id="4" name="Valor" dataDxfId="3" dataCellStyle="Moeda">
      <calculatedColumnFormula>VLOOKUP(Tabela4[[#This Row],[Código]],Tabela3[],4,FALSE)</calculatedColumnFormula>
    </tableColumn>
    <tableColumn id="5" name="Quantidade"/>
    <tableColumn id="6" name="Total" dataDxfId="2">
      <calculatedColumnFormula>Tabela4[[#This Row],[Valor]]*Tabela4[[#This Row],[Quantidade]]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ela5" displayName="Tabela5" ref="E8:F12" totalsRowShown="0">
  <autoFilter ref="E8:F12"/>
  <tableColumns count="2">
    <tableColumn id="1" name="Análise" dataDxfId="1"/>
    <tableColumn id="2" name="Resulta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zoomScale="214" zoomScaleNormal="214" workbookViewId="0"/>
  </sheetViews>
  <sheetFormatPr defaultRowHeight="15" x14ac:dyDescent="0.25"/>
  <cols>
    <col min="3" max="3" width="9.7109375" customWidth="1"/>
    <col min="4" max="4" width="9.28515625" bestFit="1" customWidth="1"/>
    <col min="7" max="7" width="10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G1" t="s">
        <v>9</v>
      </c>
    </row>
    <row r="2" spans="1:7" x14ac:dyDescent="0.25">
      <c r="A2">
        <v>1</v>
      </c>
      <c r="B2" t="s">
        <v>4</v>
      </c>
      <c r="C2" t="s">
        <v>12</v>
      </c>
      <c r="D2" s="1">
        <v>89</v>
      </c>
      <c r="G2" t="s">
        <v>10</v>
      </c>
    </row>
    <row r="3" spans="1:7" x14ac:dyDescent="0.25">
      <c r="A3">
        <v>2</v>
      </c>
      <c r="B3" t="s">
        <v>5</v>
      </c>
      <c r="C3" t="s">
        <v>12</v>
      </c>
      <c r="D3" s="1">
        <v>189.99</v>
      </c>
      <c r="G3" t="s">
        <v>11</v>
      </c>
    </row>
    <row r="4" spans="1:7" x14ac:dyDescent="0.25">
      <c r="A4">
        <v>3</v>
      </c>
      <c r="B4" t="s">
        <v>6</v>
      </c>
      <c r="C4" t="s">
        <v>11</v>
      </c>
      <c r="D4" s="1">
        <v>850</v>
      </c>
      <c r="G4" t="s">
        <v>12</v>
      </c>
    </row>
    <row r="5" spans="1:7" x14ac:dyDescent="0.25">
      <c r="A5">
        <v>4</v>
      </c>
      <c r="B5" t="s">
        <v>7</v>
      </c>
      <c r="C5" t="s">
        <v>10</v>
      </c>
      <c r="D5" s="1">
        <v>210</v>
      </c>
      <c r="G5" t="s">
        <v>13</v>
      </c>
    </row>
    <row r="6" spans="1:7" x14ac:dyDescent="0.25">
      <c r="A6">
        <v>5</v>
      </c>
      <c r="B6" t="s">
        <v>8</v>
      </c>
      <c r="C6" t="s">
        <v>13</v>
      </c>
      <c r="D6" s="1">
        <v>150</v>
      </c>
    </row>
  </sheetData>
  <dataValidations count="1">
    <dataValidation type="list" allowBlank="1" showInputMessage="1" showErrorMessage="1" sqref="C2:C6">
      <formula1>$G$2:$G$5</formula1>
    </dataValidation>
  </dataValidation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zoomScale="160" zoomScaleNormal="160" workbookViewId="0">
      <selection activeCell="C9" sqref="C9"/>
    </sheetView>
  </sheetViews>
  <sheetFormatPr defaultRowHeight="15" x14ac:dyDescent="0.25"/>
  <cols>
    <col min="3" max="3" width="9.7109375" customWidth="1"/>
    <col min="4" max="4" width="10.5703125" bestFit="1" customWidth="1"/>
    <col min="5" max="5" width="13.7109375" bestFit="1" customWidth="1"/>
    <col min="6" max="6" width="12" bestFit="1" customWidth="1"/>
    <col min="8" max="8" width="16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14</v>
      </c>
      <c r="E1" t="s">
        <v>15</v>
      </c>
      <c r="F1" t="s">
        <v>16</v>
      </c>
      <c r="H1" t="s">
        <v>17</v>
      </c>
    </row>
    <row r="2" spans="1:8" x14ac:dyDescent="0.25">
      <c r="A2">
        <v>1</v>
      </c>
      <c r="B2" t="str">
        <f>VLOOKUP(Tabela4[[#This Row],[Código]],Tabela3[],2,FALSE)</f>
        <v>Mouse</v>
      </c>
      <c r="C2" t="str">
        <f>VLOOKUP(Tabela4[[#This Row],[Código]],Tabela3[],3,FALSE)</f>
        <v>Periféricos</v>
      </c>
      <c r="D2" s="2">
        <f>VLOOKUP(Tabela4[[#This Row],[Código]],Tabela3[],4,FALSE)</f>
        <v>89</v>
      </c>
      <c r="E2">
        <v>150</v>
      </c>
      <c r="F2" s="1">
        <f>Tabela4[[#This Row],[Valor]]*Tabela4[[#This Row],[Quantidade]]</f>
        <v>13350</v>
      </c>
      <c r="H2" t="str">
        <f>IF(Tabela4[[#This Row],[Total]]&lt;10000,"VENDA BAIXA",IF(Tabela4[[#This Row],[Total]]&lt;30000,"VENDA MEDIANA","VENDA ALTA"))</f>
        <v>VENDA MEDIANA</v>
      </c>
    </row>
    <row r="3" spans="1:8" x14ac:dyDescent="0.25">
      <c r="A3">
        <v>2</v>
      </c>
      <c r="B3" t="str">
        <f>VLOOKUP(Tabela4[[#This Row],[Código]],Tabela3[],2,FALSE)</f>
        <v>Teclado</v>
      </c>
      <c r="C3" t="str">
        <f>VLOOKUP(Tabela4[[#This Row],[Código]],Tabela3[],3,FALSE)</f>
        <v>Periféricos</v>
      </c>
      <c r="D3" s="2">
        <f>VLOOKUP(Tabela4[[#This Row],[Código]],Tabela3[],4,FALSE)</f>
        <v>189.99</v>
      </c>
      <c r="E3">
        <v>90</v>
      </c>
      <c r="F3" s="1">
        <f>Tabela4[[#This Row],[Valor]]*Tabela4[[#This Row],[Quantidade]]</f>
        <v>17099.100000000002</v>
      </c>
      <c r="H3" t="str">
        <f>IF(Tabela4[[#This Row],[Total]]&lt;10000,"VENDA BAIXA",IF(Tabela4[[#This Row],[Total]]&lt;30000,"VENDA MEDIANA","VENDA ALTA"))</f>
        <v>VENDA MEDIANA</v>
      </c>
    </row>
    <row r="4" spans="1:8" x14ac:dyDescent="0.25">
      <c r="A4">
        <v>3</v>
      </c>
      <c r="B4" t="str">
        <f>VLOOKUP(Tabela4[[#This Row],[Código]],Tabela3[],2,FALSE)</f>
        <v>Monitor</v>
      </c>
      <c r="C4" t="str">
        <f>VLOOKUP(Tabela4[[#This Row],[Código]],Tabela3[],3,FALSE)</f>
        <v>Hardware</v>
      </c>
      <c r="D4" s="2">
        <f>VLOOKUP(Tabela4[[#This Row],[Código]],Tabela3[],4,FALSE)</f>
        <v>850</v>
      </c>
      <c r="E4">
        <v>45</v>
      </c>
      <c r="F4" s="1">
        <f>Tabela4[[#This Row],[Valor]]*Tabela4[[#This Row],[Quantidade]]</f>
        <v>38250</v>
      </c>
      <c r="H4" t="str">
        <f>IF(Tabela4[[#This Row],[Total]]&lt;10000,"VENDA BAIXA",IF(Tabela4[[#This Row],[Total]]&lt;30000,"VENDA MEDIANA","VENDA ALTA"))</f>
        <v>VENDA ALTA</v>
      </c>
    </row>
    <row r="5" spans="1:8" x14ac:dyDescent="0.25">
      <c r="A5">
        <v>4</v>
      </c>
      <c r="B5" t="str">
        <f>VLOOKUP(Tabela4[[#This Row],[Código]],Tabela3[],2,FALSE)</f>
        <v>Headset</v>
      </c>
      <c r="C5" t="str">
        <f>VLOOKUP(Tabela4[[#This Row],[Código]],Tabela3[],3,FALSE)</f>
        <v>Áudio</v>
      </c>
      <c r="D5" s="2">
        <f>VLOOKUP(Tabela4[[#This Row],[Código]],Tabela3[],4,FALSE)</f>
        <v>210</v>
      </c>
      <c r="E5">
        <v>15</v>
      </c>
      <c r="F5" s="1">
        <f>Tabela4[[#This Row],[Valor]]*Tabela4[[#This Row],[Quantidade]]</f>
        <v>3150</v>
      </c>
      <c r="H5" t="str">
        <f>IF(Tabela4[[#This Row],[Total]]&lt;10000,"VENDA BAIXA",IF(Tabela4[[#This Row],[Total]]&lt;30000,"VENDA MEDIANA","VENDA ALTA"))</f>
        <v>VENDA BAIXA</v>
      </c>
    </row>
    <row r="6" spans="1:8" x14ac:dyDescent="0.25">
      <c r="A6">
        <v>5</v>
      </c>
      <c r="B6" t="str">
        <f>VLOOKUP(Tabela4[[#This Row],[Código]],Tabela3[],2,FALSE)</f>
        <v>Webcam</v>
      </c>
      <c r="C6" t="str">
        <f>VLOOKUP(Tabela4[[#This Row],[Código]],Tabela3[],3,FALSE)</f>
        <v>Vídeo</v>
      </c>
      <c r="D6" s="2">
        <f>VLOOKUP(Tabela4[[#This Row],[Código]],Tabela3[],4,FALSE)</f>
        <v>150</v>
      </c>
      <c r="E6">
        <v>67</v>
      </c>
      <c r="F6" s="1">
        <f>Tabela4[[#This Row],[Valor]]*Tabela4[[#This Row],[Quantidade]]</f>
        <v>10050</v>
      </c>
      <c r="H6" t="str">
        <f>IF(Tabela4[[#This Row],[Total]]&lt;10000,"VENDA BAIXA",IF(Tabela4[[#This Row],[Total]]&lt;30000,"VENDA MEDIANA","VENDA ALTA"))</f>
        <v>VENDA MEDIANA</v>
      </c>
    </row>
    <row r="8" spans="1:8" x14ac:dyDescent="0.25">
      <c r="E8" t="s">
        <v>23</v>
      </c>
      <c r="F8" s="1" t="s">
        <v>22</v>
      </c>
    </row>
    <row r="9" spans="1:8" x14ac:dyDescent="0.25">
      <c r="E9" t="s">
        <v>18</v>
      </c>
      <c r="F9" s="1">
        <f>SUM(Tabela4[Total])</f>
        <v>81899.100000000006</v>
      </c>
    </row>
    <row r="10" spans="1:8" x14ac:dyDescent="0.25">
      <c r="E10" s="3" t="s">
        <v>19</v>
      </c>
      <c r="F10" s="1">
        <f>AVERAGE(Tabela4[Total])</f>
        <v>16379.820000000002</v>
      </c>
    </row>
    <row r="11" spans="1:8" x14ac:dyDescent="0.25">
      <c r="E11" s="3" t="s">
        <v>20</v>
      </c>
      <c r="F11" s="1">
        <f>MAX(Tabela4[Total])</f>
        <v>38250</v>
      </c>
    </row>
    <row r="12" spans="1:8" x14ac:dyDescent="0.25">
      <c r="E12" s="3" t="s">
        <v>21</v>
      </c>
      <c r="F12" s="1">
        <f>MIN(Tabela4[Total])</f>
        <v>3150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3" sqref="K2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Produtos</vt:lpstr>
      <vt:lpstr>Vendas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Raphael Carvalho Da Silva</dc:creator>
  <cp:lastModifiedBy>Willian Raphael Carvalho Da Silva</cp:lastModifiedBy>
  <dcterms:created xsi:type="dcterms:W3CDTF">2026-05-09T00:22:52Z</dcterms:created>
  <dcterms:modified xsi:type="dcterms:W3CDTF">2026-05-09T01:34:23Z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172627ac-7f6a-407c-995d-5b031ccdcee2</vt:lpwstr>
  </property>
</Properties>
</file>