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tec\FIA\"/>
    </mc:Choice>
  </mc:AlternateContent>
  <bookViews>
    <workbookView xWindow="0" yWindow="0" windowWidth="24000" windowHeight="9600" activeTab="1"/>
  </bookViews>
  <sheets>
    <sheet name="Equipe" sheetId="1" r:id="rId1"/>
    <sheet name="Pontuaca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K6" i="2" s="1"/>
  <c r="H4" i="2"/>
  <c r="H5" i="2"/>
  <c r="H6" i="2"/>
  <c r="C2" i="2"/>
  <c r="C3" i="2"/>
  <c r="C4" i="2"/>
  <c r="C5" i="2"/>
  <c r="C6" i="2"/>
  <c r="B2" i="2"/>
  <c r="B3" i="2"/>
  <c r="B4" i="2"/>
  <c r="B5" i="2"/>
  <c r="B6" i="2"/>
  <c r="K5" i="2" l="1"/>
  <c r="K4" i="2"/>
</calcChain>
</file>

<file path=xl/sharedStrings.xml><?xml version="1.0" encoding="utf-8"?>
<sst xmlns="http://schemas.openxmlformats.org/spreadsheetml/2006/main" count="24" uniqueCount="19">
  <si>
    <t>ID</t>
  </si>
  <si>
    <t>Nome Equipe</t>
  </si>
  <si>
    <t>Qtd Membros</t>
  </si>
  <si>
    <t>ID de equipe</t>
  </si>
  <si>
    <t>Vitórias</t>
  </si>
  <si>
    <t>Empates</t>
  </si>
  <si>
    <t>Derrotas</t>
  </si>
  <si>
    <t>Partidas</t>
  </si>
  <si>
    <t>Pontuação</t>
  </si>
  <si>
    <t>Zapdos Ball</t>
  </si>
  <si>
    <t>Lapras Voley</t>
  </si>
  <si>
    <t>Vaporeon Team</t>
  </si>
  <si>
    <t>Onix club</t>
  </si>
  <si>
    <t>evee crib</t>
  </si>
  <si>
    <t>Campeão:</t>
  </si>
  <si>
    <t>Lanterna:</t>
  </si>
  <si>
    <t>Maior pontuação:</t>
  </si>
  <si>
    <t>Menor pontuação:</t>
  </si>
  <si>
    <t>Média das pontuações: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</si>
</sst>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4" fillId="0" borderId="0" xfId="0" applyFont="1"/>
    <xf numFmtId="0" fontId="2" fillId="2" borderId="0" xfId="1" applyFont="1" applyAlignment="1">
      <alignment horizontal="right"/>
    </xf>
    <xf numFmtId="0" fontId="1" fillId="3" borderId="0" xfId="2"/>
    <xf numFmtId="0" fontId="1" fillId="3" borderId="0" xfId="2" applyAlignment="1">
      <alignment horizontal="left"/>
    </xf>
    <xf numFmtId="0" fontId="0" fillId="0" borderId="0" xfId="0" applyFont="1"/>
  </cellXfs>
  <cellStyles count="3">
    <cellStyle name="20% - Ênfase1" xfId="2" builtinId="30"/>
    <cellStyle name="Ênfase1" xfId="1" builtinId="29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C6" totalsRowShown="0">
  <autoFilter ref="A1:C6"/>
  <tableColumns count="3">
    <tableColumn id="1" name="ID"/>
    <tableColumn id="2" name="Nome Equipe"/>
    <tableColumn id="3" name="Qtd Membr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H6" totalsRowShown="0" headerRowDxfId="3">
  <autoFilter ref="A1:H6"/>
  <tableColumns count="8">
    <tableColumn id="1" name="ID de equipe"/>
    <tableColumn id="2" name="Nome Equipe" dataDxfId="2">
      <calculatedColumnFormula>VLOOKUP(Tabela2[[#This Row],[ID de equipe]],Tabela1[],2,FALSE)</calculatedColumnFormula>
    </tableColumn>
    <tableColumn id="3" name="Qtd Membros" dataDxfId="1">
      <calculatedColumnFormula>VLOOKUP(Tabela2[[#This Row],[ID de equipe]],Tabela1[],3,FALSE)</calculatedColumnFormula>
    </tableColumn>
    <tableColumn id="4" name="Vitórias"/>
    <tableColumn id="5" name="Empates"/>
    <tableColumn id="6" name="Derrotas"/>
    <tableColumn id="7" name="Partidas"/>
    <tableColumn id="8" name="Pontuação" dataDxfId="0">
      <calculatedColumnFormula>(Tabela2[[#This Row],[Vitórias]]*3)+Tabela2[[#This Row],[Empates]]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0:A20" totalsRowShown="0">
  <autoFilter ref="A10:A20"/>
  <tableColumns count="1">
    <tableColumn id="1" name="Parti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13" sqref="D13"/>
    </sheetView>
  </sheetViews>
  <sheetFormatPr defaultRowHeight="15" x14ac:dyDescent="0.25"/>
  <cols>
    <col min="2" max="2" width="16.5703125" customWidth="1"/>
    <col min="3" max="3" width="15.42578125" customWidth="1"/>
  </cols>
  <sheetData>
    <row r="1" spans="1:3" ht="16.5" x14ac:dyDescent="0.3">
      <c r="A1" s="1" t="s">
        <v>0</v>
      </c>
      <c r="B1" s="1" t="s">
        <v>1</v>
      </c>
      <c r="C1" t="s">
        <v>2</v>
      </c>
    </row>
    <row r="2" spans="1:3" x14ac:dyDescent="0.25">
      <c r="A2">
        <v>1</v>
      </c>
      <c r="B2" t="s">
        <v>9</v>
      </c>
      <c r="C2">
        <v>12</v>
      </c>
    </row>
    <row r="3" spans="1:3" x14ac:dyDescent="0.25">
      <c r="A3">
        <v>2</v>
      </c>
      <c r="B3" t="s">
        <v>10</v>
      </c>
      <c r="C3">
        <v>16</v>
      </c>
    </row>
    <row r="4" spans="1:3" x14ac:dyDescent="0.25">
      <c r="A4">
        <v>3</v>
      </c>
      <c r="B4" t="s">
        <v>11</v>
      </c>
      <c r="C4">
        <v>14</v>
      </c>
    </row>
    <row r="5" spans="1:3" x14ac:dyDescent="0.25">
      <c r="A5">
        <v>4</v>
      </c>
      <c r="B5" t="s">
        <v>12</v>
      </c>
      <c r="C5">
        <v>12</v>
      </c>
    </row>
    <row r="6" spans="1:3" x14ac:dyDescent="0.25">
      <c r="A6">
        <v>5</v>
      </c>
      <c r="B6" t="s">
        <v>13</v>
      </c>
      <c r="C6">
        <v>18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L15" sqref="K15:L16"/>
    </sheetView>
  </sheetViews>
  <sheetFormatPr defaultRowHeight="15" x14ac:dyDescent="0.25"/>
  <cols>
    <col min="1" max="1" width="14.42578125" customWidth="1"/>
    <col min="2" max="2" width="15.140625" customWidth="1"/>
    <col min="3" max="3" width="15.42578125" customWidth="1"/>
    <col min="4" max="4" width="10.85546875" customWidth="1"/>
    <col min="5" max="5" width="11.7109375" customWidth="1"/>
    <col min="6" max="6" width="11.85546875" customWidth="1"/>
    <col min="7" max="7" width="11.28515625" customWidth="1"/>
    <col min="8" max="8" width="13.7109375" customWidth="1"/>
    <col min="10" max="10" width="21.7109375" bestFit="1" customWidth="1"/>
    <col min="11" max="11" width="15.140625" bestFit="1" customWidth="1"/>
  </cols>
  <sheetData>
    <row r="1" spans="1:14" ht="16.5" x14ac:dyDescent="0.3">
      <c r="A1" t="s">
        <v>3</v>
      </c>
      <c r="B1" t="s">
        <v>1</v>
      </c>
      <c r="C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14" x14ac:dyDescent="0.25">
      <c r="A2">
        <v>1</v>
      </c>
      <c r="B2" t="str">
        <f>VLOOKUP(Tabela2[[#This Row],[ID de equipe]],Tabela1[],2,FALSE)</f>
        <v>Zapdos Ball</v>
      </c>
      <c r="C2">
        <f>VLOOKUP(Tabela2[[#This Row],[ID de equipe]],Tabela1[],3,FALSE)</f>
        <v>12</v>
      </c>
      <c r="D2">
        <v>4</v>
      </c>
      <c r="E2">
        <v>2</v>
      </c>
      <c r="F2">
        <v>4</v>
      </c>
      <c r="G2">
        <v>10</v>
      </c>
      <c r="H2">
        <f>(Tabela2[[#This Row],[Vitórias]]*3)+Tabela2[[#This Row],[Empates]]</f>
        <v>14</v>
      </c>
      <c r="J2" s="2" t="s">
        <v>14</v>
      </c>
      <c r="K2" s="3" t="s">
        <v>11</v>
      </c>
    </row>
    <row r="3" spans="1:14" x14ac:dyDescent="0.25">
      <c r="A3">
        <v>2</v>
      </c>
      <c r="B3" t="str">
        <f>VLOOKUP(Tabela2[[#This Row],[ID de equipe]],Tabela1[],2,FALSE)</f>
        <v>Lapras Voley</v>
      </c>
      <c r="C3">
        <f>VLOOKUP(Tabela2[[#This Row],[ID de equipe]],Tabela1[],3,FALSE)</f>
        <v>16</v>
      </c>
      <c r="D3">
        <v>2</v>
      </c>
      <c r="E3">
        <v>3</v>
      </c>
      <c r="F3">
        <v>5</v>
      </c>
      <c r="G3" s="5">
        <v>10</v>
      </c>
      <c r="H3">
        <f>(Tabela2[[#This Row],[Vitórias]]*3)+Tabela2[[#This Row],[Empates]]</f>
        <v>9</v>
      </c>
      <c r="J3" s="2" t="s">
        <v>15</v>
      </c>
      <c r="K3" s="4" t="s">
        <v>10</v>
      </c>
    </row>
    <row r="4" spans="1:14" x14ac:dyDescent="0.25">
      <c r="A4">
        <v>3</v>
      </c>
      <c r="B4" t="str">
        <f>VLOOKUP(Tabela2[[#This Row],[ID de equipe]],Tabela1[],2,FALSE)</f>
        <v>Vaporeon Team</v>
      </c>
      <c r="C4">
        <f>VLOOKUP(Tabela2[[#This Row],[ID de equipe]],Tabela1[],3,FALSE)</f>
        <v>14</v>
      </c>
      <c r="D4">
        <v>7</v>
      </c>
      <c r="E4">
        <v>2</v>
      </c>
      <c r="F4">
        <v>1</v>
      </c>
      <c r="G4">
        <v>10</v>
      </c>
      <c r="H4">
        <f>(Tabela2[[#This Row],[Vitórias]]*3)+Tabela2[[#This Row],[Empates]]</f>
        <v>23</v>
      </c>
      <c r="J4" s="2" t="s">
        <v>16</v>
      </c>
      <c r="K4" s="4">
        <f>MAX(Tabela2[Pontuação])</f>
        <v>23</v>
      </c>
    </row>
    <row r="5" spans="1:14" x14ac:dyDescent="0.25">
      <c r="A5">
        <v>4</v>
      </c>
      <c r="B5" t="str">
        <f>VLOOKUP(Tabela2[[#This Row],[ID de equipe]],Tabela1[],2,FALSE)</f>
        <v>Onix club</v>
      </c>
      <c r="C5">
        <f>VLOOKUP(Tabela2[[#This Row],[ID de equipe]],Tabela1[],3,FALSE)</f>
        <v>12</v>
      </c>
      <c r="D5">
        <v>4</v>
      </c>
      <c r="E5">
        <v>6</v>
      </c>
      <c r="F5">
        <v>0</v>
      </c>
      <c r="G5">
        <v>10</v>
      </c>
      <c r="H5">
        <f>(Tabela2[[#This Row],[Vitórias]]*3)+Tabela2[[#This Row],[Empates]]</f>
        <v>18</v>
      </c>
      <c r="J5" s="2" t="s">
        <v>17</v>
      </c>
      <c r="K5" s="4">
        <f>MIN(Tabela2[Pontuação])</f>
        <v>9</v>
      </c>
    </row>
    <row r="6" spans="1:14" x14ac:dyDescent="0.25">
      <c r="A6">
        <v>5</v>
      </c>
      <c r="B6" t="str">
        <f>VLOOKUP(Tabela2[[#This Row],[ID de equipe]],Tabela1[],2,FALSE)</f>
        <v>evee crib</v>
      </c>
      <c r="C6">
        <f>VLOOKUP(Tabela2[[#This Row],[ID de equipe]],Tabela1[],3,FALSE)</f>
        <v>18</v>
      </c>
      <c r="D6">
        <v>5</v>
      </c>
      <c r="E6">
        <v>2</v>
      </c>
      <c r="F6">
        <v>3</v>
      </c>
      <c r="G6">
        <v>10</v>
      </c>
      <c r="H6">
        <f>(Tabela2[[#This Row],[Vitórias]]*3)+Tabela2[[#This Row],[Empates]]</f>
        <v>17</v>
      </c>
      <c r="J6" s="2" t="s">
        <v>18</v>
      </c>
      <c r="K6" s="4">
        <f>AVERAGE(Tabela2[Pontuação])</f>
        <v>16.2</v>
      </c>
    </row>
    <row r="7" spans="1:14" x14ac:dyDescent="0.25">
      <c r="N7" s="5"/>
    </row>
    <row r="10" spans="1:14" x14ac:dyDescent="0.25">
      <c r="A10" t="s">
        <v>7</v>
      </c>
    </row>
    <row r="11" spans="1:14" x14ac:dyDescent="0.25">
      <c r="A11">
        <v>1</v>
      </c>
    </row>
    <row r="12" spans="1:14" x14ac:dyDescent="0.25">
      <c r="A12">
        <v>2</v>
      </c>
    </row>
    <row r="13" spans="1:14" x14ac:dyDescent="0.25">
      <c r="A13">
        <v>3</v>
      </c>
    </row>
    <row r="14" spans="1:14" x14ac:dyDescent="0.25">
      <c r="A14">
        <v>4</v>
      </c>
    </row>
    <row r="15" spans="1:14" x14ac:dyDescent="0.25">
      <c r="A15">
        <v>5</v>
      </c>
    </row>
    <row r="16" spans="1:14" x14ac:dyDescent="0.25">
      <c r="A16">
        <v>6</v>
      </c>
    </row>
    <row r="17" spans="1:1" x14ac:dyDescent="0.25">
      <c r="A17">
        <v>7</v>
      </c>
    </row>
    <row r="18" spans="1:1" x14ac:dyDescent="0.25">
      <c r="A18">
        <v>8</v>
      </c>
    </row>
    <row r="19" spans="1:1" x14ac:dyDescent="0.25">
      <c r="A19">
        <v>9</v>
      </c>
    </row>
    <row r="20" spans="1:1" x14ac:dyDescent="0.25">
      <c r="A20">
        <v>10</v>
      </c>
    </row>
  </sheetData>
  <dataValidations count="1">
    <dataValidation type="list" allowBlank="1" showInputMessage="1" showErrorMessage="1" sqref="G2:G6">
      <formula1>$A$11:$A$20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Equipe</vt:lpstr>
      <vt:lpstr>Pontuacao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Raphael Carvalho Da Silva</dc:creator>
  <cp:lastModifiedBy>Willian Raphael Carvalho Da Silva</cp:lastModifiedBy>
  <dcterms:created xsi:type="dcterms:W3CDTF">2026-05-16T00:40:56Z</dcterms:created>
  <dcterms:modified xsi:type="dcterms:W3CDTF">2026-05-16T01:10:39Z</dcterms:modified>
</cp:coreProperties>
</file>